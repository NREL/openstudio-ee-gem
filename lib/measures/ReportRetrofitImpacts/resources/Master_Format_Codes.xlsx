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nrel-my.sharepoint.com/personal/satnoork_nrel_gov/Documents/"/>
    </mc:Choice>
  </mc:AlternateContent>
  <xr:revisionPtr revIDLastSave="0" documentId="8_{22827118-0425-4AE8-AB54-DAF1F99E7CF7}" xr6:coauthVersionLast="47" xr6:coauthVersionMax="47" xr10:uidLastSave="{00000000-0000-0000-0000-000000000000}"/>
  <bookViews>
    <workbookView xWindow="57480" yWindow="-120" windowWidth="29040" windowHeight="15720" firstSheet="2" activeTab="2" xr2:uid="{BEF35008-BCE0-4714-8D8C-84A6611DEEAF}"/>
  </bookViews>
  <sheets>
    <sheet name="Sheet1" sheetId="1" r:id="rId1"/>
    <sheet name="windows costs" sheetId="2" r:id="rId2"/>
    <sheet name="insulation cos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M3" i="3"/>
  <c r="M4" i="3"/>
  <c r="M5" i="3"/>
  <c r="M2" i="3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<sst xmlns="http://schemas.openxmlformats.org/spreadsheetml/2006/main" count="176" uniqueCount="109">
  <si>
    <t>Material</t>
  </si>
  <si>
    <t>Material Sub Type</t>
  </si>
  <si>
    <t>Code: EC3</t>
  </si>
  <si>
    <t>Code: RSM</t>
  </si>
  <si>
    <t>Comment</t>
  </si>
  <si>
    <t>Concrete</t>
  </si>
  <si>
    <t>Cast-in-place</t>
  </si>
  <si>
    <t>03 30 00</t>
  </si>
  <si>
    <t>03 30 53</t>
  </si>
  <si>
    <t>RSM calls it miscellaneus cast-in-place concrete</t>
  </si>
  <si>
    <t>Shortcrete</t>
  </si>
  <si>
    <t>03 37 13</t>
  </si>
  <si>
    <t>Cement Grout</t>
  </si>
  <si>
    <t>03 61 00</t>
  </si>
  <si>
    <t>not present in RSM</t>
  </si>
  <si>
    <t>Flowable Fill (or just Fill)</t>
  </si>
  <si>
    <t>31 23 23</t>
  </si>
  <si>
    <t>Insulation</t>
  </si>
  <si>
    <t>Board Insulation</t>
  </si>
  <si>
    <t>07 21 13</t>
  </si>
  <si>
    <t>Blanket Insulation</t>
  </si>
  <si>
    <t>07 21 16</t>
  </si>
  <si>
    <t>Foamed-in-place</t>
  </si>
  <si>
    <t>07 21 19</t>
  </si>
  <si>
    <t xml:space="preserve">Blown </t>
  </si>
  <si>
    <t>07 21 26</t>
  </si>
  <si>
    <t>Code 1</t>
  </si>
  <si>
    <t>Item 1</t>
  </si>
  <si>
    <t>Code 2</t>
  </si>
  <si>
    <t>Item 2</t>
  </si>
  <si>
    <t>Code 3</t>
  </si>
  <si>
    <t>Item 3</t>
  </si>
  <si>
    <t>Sub Code</t>
  </si>
  <si>
    <t>Sub Item</t>
  </si>
  <si>
    <t>Labor-Hours</t>
  </si>
  <si>
    <t>Labor</t>
  </si>
  <si>
    <t>Total</t>
  </si>
  <si>
    <t>Total Incl O&amp;P</t>
  </si>
  <si>
    <t>08 51</t>
  </si>
  <si>
    <t>Metal Windows</t>
  </si>
  <si>
    <t xml:space="preserve">08 51 13 </t>
  </si>
  <si>
    <t>Aluminium Windows</t>
  </si>
  <si>
    <t>08 51 13.10</t>
  </si>
  <si>
    <t>Aluminium Sash</t>
  </si>
  <si>
    <t>0020</t>
  </si>
  <si>
    <t>Stock, grade C, glaze &amp; trim not incl., casement</t>
  </si>
  <si>
    <t>08 51 13.20</t>
  </si>
  <si>
    <t>2000</t>
  </si>
  <si>
    <t>4'5'' x 5'3'' opening</t>
  </si>
  <si>
    <t>08 51 13.30</t>
  </si>
  <si>
    <t>Impact Resistant Aluminium Windows</t>
  </si>
  <si>
    <t>0130</t>
  </si>
  <si>
    <t>4' x 5'</t>
  </si>
  <si>
    <t xml:space="preserve">08 51 23 </t>
  </si>
  <si>
    <t>Steel Windows</t>
  </si>
  <si>
    <t>08 53 13.10</t>
  </si>
  <si>
    <t>Steel sash</t>
  </si>
  <si>
    <t>0010</t>
  </si>
  <si>
    <t>Casement, 100% vented</t>
  </si>
  <si>
    <t>08 53 13.20</t>
  </si>
  <si>
    <t>Steel windows</t>
  </si>
  <si>
    <t>4'1''-5'5'' opening</t>
  </si>
  <si>
    <t>08 51 66</t>
  </si>
  <si>
    <t>Metal Window Strings</t>
  </si>
  <si>
    <t>08 51 66.10</t>
  </si>
  <si>
    <t>Screens</t>
  </si>
  <si>
    <t>For metal sash, aluminium or bonze mesh, flat screen</t>
  </si>
  <si>
    <t>08 52</t>
  </si>
  <si>
    <t>Wood Windows</t>
  </si>
  <si>
    <t>08 52 10</t>
  </si>
  <si>
    <t>Plain Wood Windows</t>
  </si>
  <si>
    <t>08 52 10.40</t>
  </si>
  <si>
    <t>Casement Window</t>
  </si>
  <si>
    <t>0270</t>
  </si>
  <si>
    <t>4' x 4' Low E Glass</t>
  </si>
  <si>
    <t>08 52 10.65</t>
  </si>
  <si>
    <t>Wood Sash</t>
  </si>
  <si>
    <t>0050</t>
  </si>
  <si>
    <t>Custom, 5' x 4', 1'' double glazed</t>
  </si>
  <si>
    <t>08 53</t>
  </si>
  <si>
    <t>Plastic Windows</t>
  </si>
  <si>
    <t>08 53 10</t>
  </si>
  <si>
    <t>Vinyl Windows</t>
  </si>
  <si>
    <t>08 53 13.40</t>
  </si>
  <si>
    <t>Vinyl Casement Windows</t>
  </si>
  <si>
    <t>0272</t>
  </si>
  <si>
    <t>47'' X 59''</t>
  </si>
  <si>
    <t>Equipment</t>
  </si>
  <si>
    <t>Unit</t>
  </si>
  <si>
    <t>07 21</t>
  </si>
  <si>
    <t>Thermal Insulation</t>
  </si>
  <si>
    <t>07 21 13.10</t>
  </si>
  <si>
    <t>Rigid Insulation</t>
  </si>
  <si>
    <t>Fiberglass, 1.5#/C.F., unfaced, 1'' thick, R4.1</t>
  </si>
  <si>
    <t>SF</t>
  </si>
  <si>
    <t>07 21 13.13</t>
  </si>
  <si>
    <t>Foam Board Insulation</t>
  </si>
  <si>
    <t>0600</t>
  </si>
  <si>
    <t>Polystyrene, expanded, 1'' thick, R4</t>
  </si>
  <si>
    <t>07 21 16.20</t>
  </si>
  <si>
    <t>Blanket Insulation for Walls</t>
  </si>
  <si>
    <t>Kraft faced fiberglass, 3-1/2'' thick, R11, 15'' wide</t>
  </si>
  <si>
    <t>Blown Insulation</t>
  </si>
  <si>
    <t>07 21 26.10</t>
  </si>
  <si>
    <t>Cellulose, 3-1/2'' thick, R13</t>
  </si>
  <si>
    <t>Foamed  In-Place Insulation</t>
  </si>
  <si>
    <t>07 21 19.10</t>
  </si>
  <si>
    <t>Masonry foamed in place insulation</t>
  </si>
  <si>
    <t>Amino-plast foam, injected into block core, 6''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</si>
</sst>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FC1D-CC5D-4A8D-A3F1-316DCEF3B72A}">
  <dimension ref="A1:E9"/>
  <sheetViews>
    <sheetView workbookViewId="0">
      <selection activeCell="E10" sqref="E10"/>
    </sheetView>
  </sheetViews>
  <sheetFormatPr defaultRowHeight="14.45"/>
  <cols>
    <col min="1" max="1" width="17" customWidth="1"/>
    <col min="2" max="2" width="22.42578125" bestFit="1" customWidth="1"/>
    <col min="3" max="3" width="13.5703125" customWidth="1"/>
    <col min="4" max="4" width="17.7109375" customWidth="1"/>
    <col min="5" max="5" width="43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B3" t="s">
        <v>10</v>
      </c>
      <c r="C3" t="s">
        <v>11</v>
      </c>
      <c r="D3" t="s">
        <v>11</v>
      </c>
    </row>
    <row r="4" spans="1:5">
      <c r="B4" t="s">
        <v>12</v>
      </c>
      <c r="C4" t="s">
        <v>13</v>
      </c>
      <c r="E4" t="s">
        <v>14</v>
      </c>
    </row>
    <row r="5" spans="1:5">
      <c r="B5" t="s">
        <v>15</v>
      </c>
      <c r="C5" t="s">
        <v>16</v>
      </c>
      <c r="D5" t="s">
        <v>16</v>
      </c>
    </row>
    <row r="6" spans="1:5">
      <c r="A6" t="s">
        <v>17</v>
      </c>
      <c r="B6" t="s">
        <v>18</v>
      </c>
      <c r="C6" t="s">
        <v>19</v>
      </c>
      <c r="D6" t="s">
        <v>19</v>
      </c>
    </row>
    <row r="7" spans="1:5">
      <c r="B7" t="s">
        <v>20</v>
      </c>
      <c r="C7" t="s">
        <v>21</v>
      </c>
      <c r="D7" t="s">
        <v>21</v>
      </c>
    </row>
    <row r="8" spans="1:5">
      <c r="B8" t="s">
        <v>22</v>
      </c>
      <c r="C8" t="s">
        <v>23</v>
      </c>
      <c r="D8" t="s">
        <v>23</v>
      </c>
    </row>
    <row r="9" spans="1:5">
      <c r="B9" t="s">
        <v>24</v>
      </c>
      <c r="C9" t="s">
        <v>25</v>
      </c>
      <c r="D9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DF3B-979E-4381-9BD4-DD60CE504EDF}">
  <dimension ref="A1:M10"/>
  <sheetViews>
    <sheetView workbookViewId="0">
      <selection activeCell="I3" sqref="I3"/>
    </sheetView>
  </sheetViews>
  <sheetFormatPr defaultRowHeight="14.45"/>
  <cols>
    <col min="1" max="1" width="8.140625" customWidth="1"/>
    <col min="2" max="2" width="19.7109375" customWidth="1"/>
    <col min="3" max="3" width="12.5703125" customWidth="1"/>
    <col min="4" max="4" width="25.42578125" customWidth="1"/>
    <col min="5" max="5" width="15.140625" customWidth="1"/>
    <col min="6" max="6" width="34.5703125" customWidth="1"/>
    <col min="7" max="7" width="11.42578125" customWidth="1"/>
    <col min="8" max="8" width="50" customWidth="1"/>
    <col min="9" max="9" width="11.140625" bestFit="1" customWidth="1"/>
  </cols>
  <sheetData>
    <row r="1" spans="1:1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0</v>
      </c>
      <c r="K1" t="s">
        <v>35</v>
      </c>
      <c r="L1" t="s">
        <v>36</v>
      </c>
      <c r="M1" t="s">
        <v>37</v>
      </c>
    </row>
    <row r="2" spans="1:1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s="1" t="s">
        <v>44</v>
      </c>
      <c r="H2" t="s">
        <v>45</v>
      </c>
      <c r="I2">
        <v>0.08</v>
      </c>
      <c r="J2">
        <v>48</v>
      </c>
      <c r="K2">
        <v>5.45</v>
      </c>
      <c r="L2">
        <f t="shared" ref="L2:L10" si="0">SUM(J2:K2)</f>
        <v>53.45</v>
      </c>
      <c r="M2">
        <v>61</v>
      </c>
    </row>
    <row r="3" spans="1:13">
      <c r="A3" t="s">
        <v>38</v>
      </c>
      <c r="B3" t="s">
        <v>39</v>
      </c>
      <c r="C3" t="s">
        <v>40</v>
      </c>
      <c r="D3" t="s">
        <v>41</v>
      </c>
      <c r="E3" t="s">
        <v>46</v>
      </c>
      <c r="F3" t="s">
        <v>41</v>
      </c>
      <c r="G3" s="1" t="s">
        <v>47</v>
      </c>
      <c r="H3" t="s">
        <v>48</v>
      </c>
      <c r="I3">
        <v>2</v>
      </c>
      <c r="J3">
        <v>470</v>
      </c>
      <c r="K3">
        <v>137</v>
      </c>
      <c r="L3">
        <f t="shared" si="0"/>
        <v>607</v>
      </c>
      <c r="M3">
        <v>720</v>
      </c>
    </row>
    <row r="4" spans="1:13">
      <c r="A4" t="s">
        <v>38</v>
      </c>
      <c r="B4" t="s">
        <v>39</v>
      </c>
      <c r="C4" t="s">
        <v>40</v>
      </c>
      <c r="D4" t="s">
        <v>41</v>
      </c>
      <c r="E4" t="s">
        <v>49</v>
      </c>
      <c r="F4" t="s">
        <v>50</v>
      </c>
      <c r="G4" s="1" t="s">
        <v>51</v>
      </c>
      <c r="H4" t="s">
        <v>52</v>
      </c>
      <c r="I4">
        <v>1.778</v>
      </c>
      <c r="J4">
        <v>2075</v>
      </c>
      <c r="K4">
        <v>111</v>
      </c>
      <c r="L4">
        <f t="shared" si="0"/>
        <v>2186</v>
      </c>
      <c r="M4">
        <v>2450</v>
      </c>
    </row>
    <row r="5" spans="1:13">
      <c r="A5" t="s">
        <v>38</v>
      </c>
      <c r="B5" t="s">
        <v>39</v>
      </c>
      <c r="C5" t="s">
        <v>53</v>
      </c>
      <c r="D5" t="s">
        <v>54</v>
      </c>
      <c r="E5" t="s">
        <v>55</v>
      </c>
      <c r="F5" t="s">
        <v>56</v>
      </c>
      <c r="G5" s="1" t="s">
        <v>57</v>
      </c>
      <c r="H5" s="1" t="s">
        <v>58</v>
      </c>
      <c r="I5">
        <v>0.08</v>
      </c>
      <c r="J5">
        <v>77.5</v>
      </c>
      <c r="K5">
        <v>5.45</v>
      </c>
      <c r="L5">
        <f t="shared" si="0"/>
        <v>82.95</v>
      </c>
      <c r="M5">
        <v>93.5</v>
      </c>
    </row>
    <row r="6" spans="1:13">
      <c r="A6" t="s">
        <v>38</v>
      </c>
      <c r="B6" t="s">
        <v>39</v>
      </c>
      <c r="C6" t="s">
        <v>53</v>
      </c>
      <c r="D6" t="s">
        <v>54</v>
      </c>
      <c r="E6" t="s">
        <v>59</v>
      </c>
      <c r="F6" t="s">
        <v>60</v>
      </c>
      <c r="G6" s="1">
        <v>2100</v>
      </c>
      <c r="H6" t="s">
        <v>61</v>
      </c>
      <c r="I6">
        <v>1.6</v>
      </c>
      <c r="J6">
        <v>1600</v>
      </c>
      <c r="K6">
        <v>109</v>
      </c>
      <c r="L6">
        <f t="shared" si="0"/>
        <v>1709</v>
      </c>
      <c r="M6">
        <v>1925</v>
      </c>
    </row>
    <row r="7" spans="1:13">
      <c r="A7" t="s">
        <v>38</v>
      </c>
      <c r="B7" t="s">
        <v>39</v>
      </c>
      <c r="C7" t="s">
        <v>62</v>
      </c>
      <c r="D7" t="s">
        <v>63</v>
      </c>
      <c r="E7" t="s">
        <v>64</v>
      </c>
      <c r="F7" t="s">
        <v>65</v>
      </c>
      <c r="G7" s="1" t="s">
        <v>44</v>
      </c>
      <c r="H7" t="s">
        <v>66</v>
      </c>
      <c r="I7">
        <v>1.2999999999999999E-2</v>
      </c>
      <c r="J7">
        <v>5.2</v>
      </c>
      <c r="K7">
        <v>0.91</v>
      </c>
      <c r="L7">
        <f t="shared" si="0"/>
        <v>6.11</v>
      </c>
      <c r="M7">
        <v>7.1</v>
      </c>
    </row>
    <row r="8" spans="1:13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s="1" t="s">
        <v>73</v>
      </c>
      <c r="H8" t="s">
        <v>74</v>
      </c>
      <c r="I8">
        <v>0.72699999999999998</v>
      </c>
      <c r="J8">
        <v>1225</v>
      </c>
      <c r="K8">
        <v>45.5</v>
      </c>
      <c r="L8">
        <f t="shared" si="0"/>
        <v>1270.5</v>
      </c>
      <c r="M8">
        <v>1425</v>
      </c>
    </row>
    <row r="9" spans="1:13">
      <c r="A9" t="s">
        <v>67</v>
      </c>
      <c r="B9" t="s">
        <v>68</v>
      </c>
      <c r="C9" t="s">
        <v>69</v>
      </c>
      <c r="D9" t="s">
        <v>70</v>
      </c>
      <c r="E9" t="s">
        <v>75</v>
      </c>
      <c r="F9" t="s">
        <v>76</v>
      </c>
      <c r="G9" s="1" t="s">
        <v>77</v>
      </c>
      <c r="H9" t="s">
        <v>78</v>
      </c>
      <c r="I9">
        <v>5</v>
      </c>
      <c r="J9">
        <v>135</v>
      </c>
      <c r="K9">
        <v>310</v>
      </c>
      <c r="L9">
        <f t="shared" si="0"/>
        <v>445</v>
      </c>
      <c r="M9">
        <v>610</v>
      </c>
    </row>
    <row r="10" spans="1:13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s="1" t="s">
        <v>85</v>
      </c>
      <c r="H10" t="s">
        <v>86</v>
      </c>
      <c r="I10">
        <v>0.94099999999999995</v>
      </c>
      <c r="J10">
        <v>1150</v>
      </c>
      <c r="K10">
        <v>58.5</v>
      </c>
      <c r="L10">
        <f t="shared" si="0"/>
        <v>1208.5</v>
      </c>
      <c r="M10">
        <v>1325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653D-2BC6-4F3E-B831-86DCAB9AB490}">
  <dimension ref="A1:O6"/>
  <sheetViews>
    <sheetView tabSelected="1" workbookViewId="0">
      <selection activeCell="F22" sqref="F22"/>
    </sheetView>
  </sheetViews>
  <sheetFormatPr defaultRowHeight="14.45"/>
  <cols>
    <col min="2" max="2" width="20.42578125" customWidth="1"/>
    <col min="3" max="3" width="12" customWidth="1"/>
    <col min="4" max="4" width="29.42578125" customWidth="1"/>
    <col min="5" max="5" width="18.7109375" customWidth="1"/>
    <col min="6" max="6" width="35.140625" customWidth="1"/>
    <col min="7" max="7" width="13.85546875" style="1" customWidth="1"/>
    <col min="8" max="8" width="45.85546875" customWidth="1"/>
    <col min="9" max="9" width="18" customWidth="1"/>
  </cols>
  <sheetData>
    <row r="1" spans="1:1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s="1" t="s">
        <v>32</v>
      </c>
      <c r="H1" t="s">
        <v>33</v>
      </c>
      <c r="I1" t="s">
        <v>34</v>
      </c>
      <c r="J1" t="s">
        <v>0</v>
      </c>
      <c r="K1" t="s">
        <v>35</v>
      </c>
      <c r="L1" t="s">
        <v>87</v>
      </c>
      <c r="M1" t="s">
        <v>36</v>
      </c>
      <c r="N1" t="s">
        <v>37</v>
      </c>
      <c r="O1" t="s">
        <v>88</v>
      </c>
    </row>
    <row r="2" spans="1:15">
      <c r="A2" t="s">
        <v>89</v>
      </c>
      <c r="B2" t="s">
        <v>90</v>
      </c>
      <c r="C2" t="s">
        <v>19</v>
      </c>
      <c r="D2" t="s">
        <v>18</v>
      </c>
      <c r="E2" t="s">
        <v>91</v>
      </c>
      <c r="F2" t="s">
        <v>92</v>
      </c>
      <c r="G2" s="1" t="s">
        <v>57</v>
      </c>
      <c r="H2" t="s">
        <v>93</v>
      </c>
      <c r="I2">
        <v>8.0000000000000002E-3</v>
      </c>
      <c r="J2">
        <v>0.79</v>
      </c>
      <c r="K2">
        <v>0.5</v>
      </c>
      <c r="M2">
        <f>SUM(J2:L2)</f>
        <v>1.29</v>
      </c>
      <c r="N2">
        <v>1.6</v>
      </c>
      <c r="O2" t="s">
        <v>94</v>
      </c>
    </row>
    <row r="3" spans="1:15">
      <c r="A3" t="s">
        <v>89</v>
      </c>
      <c r="B3" t="s">
        <v>90</v>
      </c>
      <c r="C3" t="s">
        <v>19</v>
      </c>
      <c r="D3" t="s">
        <v>18</v>
      </c>
      <c r="E3" t="s">
        <v>95</v>
      </c>
      <c r="F3" t="s">
        <v>96</v>
      </c>
      <c r="G3" s="1" t="s">
        <v>97</v>
      </c>
      <c r="H3" t="s">
        <v>98</v>
      </c>
      <c r="I3">
        <v>1.2E-2</v>
      </c>
      <c r="J3">
        <v>0.33</v>
      </c>
      <c r="K3">
        <v>0.73</v>
      </c>
      <c r="M3">
        <f t="shared" ref="M3:M6" si="0">SUM(J3:L3)</f>
        <v>1.06</v>
      </c>
      <c r="N3">
        <v>1.44</v>
      </c>
      <c r="O3" t="s">
        <v>94</v>
      </c>
    </row>
    <row r="4" spans="1:15">
      <c r="A4" t="s">
        <v>89</v>
      </c>
      <c r="B4" t="s">
        <v>90</v>
      </c>
      <c r="C4" t="s">
        <v>21</v>
      </c>
      <c r="D4" t="s">
        <v>20</v>
      </c>
      <c r="E4" t="s">
        <v>99</v>
      </c>
      <c r="F4" t="s">
        <v>100</v>
      </c>
      <c r="G4" s="1" t="s">
        <v>44</v>
      </c>
      <c r="H4" t="s">
        <v>101</v>
      </c>
      <c r="I4">
        <v>6.0000000000000001E-3</v>
      </c>
      <c r="J4">
        <v>0.53</v>
      </c>
      <c r="K4">
        <v>0.37</v>
      </c>
      <c r="M4">
        <f t="shared" si="0"/>
        <v>0.9</v>
      </c>
      <c r="N4">
        <v>1.1200000000000001</v>
      </c>
      <c r="O4" t="s">
        <v>94</v>
      </c>
    </row>
    <row r="5" spans="1:15">
      <c r="A5" t="s">
        <v>89</v>
      </c>
      <c r="B5" t="s">
        <v>90</v>
      </c>
      <c r="C5" t="s">
        <v>25</v>
      </c>
      <c r="D5" t="s">
        <v>102</v>
      </c>
      <c r="E5" t="s">
        <v>103</v>
      </c>
      <c r="F5" t="s">
        <v>102</v>
      </c>
      <c r="G5" s="1" t="s">
        <v>44</v>
      </c>
      <c r="H5" t="s">
        <v>104</v>
      </c>
      <c r="I5">
        <v>5.0000000000000001E-3</v>
      </c>
      <c r="J5">
        <v>0.23</v>
      </c>
      <c r="K5">
        <v>0.24</v>
      </c>
      <c r="L5">
        <v>0.13</v>
      </c>
      <c r="M5">
        <f t="shared" si="0"/>
        <v>0.6</v>
      </c>
      <c r="N5">
        <v>0.76</v>
      </c>
      <c r="O5" t="s">
        <v>94</v>
      </c>
    </row>
    <row r="6" spans="1:15">
      <c r="A6" t="s">
        <v>89</v>
      </c>
      <c r="B6" t="s">
        <v>90</v>
      </c>
      <c r="C6" t="s">
        <v>23</v>
      </c>
      <c r="D6" t="s">
        <v>105</v>
      </c>
      <c r="E6" t="s">
        <v>106</v>
      </c>
      <c r="F6" t="s">
        <v>107</v>
      </c>
      <c r="G6" s="1" t="s">
        <v>57</v>
      </c>
      <c r="H6" t="s">
        <v>108</v>
      </c>
      <c r="I6">
        <v>4.0000000000000001E-3</v>
      </c>
      <c r="J6">
        <v>0.05</v>
      </c>
      <c r="K6">
        <v>0.2</v>
      </c>
      <c r="L6">
        <v>0.15</v>
      </c>
      <c r="M6">
        <f t="shared" si="0"/>
        <v>0.4</v>
      </c>
      <c r="N6">
        <v>0.51</v>
      </c>
      <c r="O6" t="s">
        <v>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Atnoorkar, Swaroop</dc:creator>
  <cp:keywords/>
  <dc:description/>
  <cp:lastModifiedBy/>
  <cp:revision/>
  <dcterms:created xsi:type="dcterms:W3CDTF">2025-05-30T20:01:47Z</dcterms:created>
  <dcterms:modified xsi:type="dcterms:W3CDTF">2025-08-06T16:44:47Z</dcterms:modified>
  <cp:category/>
  <cp:contentStatus/>
</cp:coreProperties>
</file>